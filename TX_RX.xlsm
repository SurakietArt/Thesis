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akietPiyasakulkie\Desktop\project\TX_RX_Pressure Beta 4\"/>
    </mc:Choice>
  </mc:AlternateContent>
  <xr:revisionPtr revIDLastSave="0" documentId="13_ncr:1_{F7E1380C-8D9D-4A16-915E-280657615D09}" xr6:coauthVersionLast="41" xr6:coauthVersionMax="41" xr10:uidLastSave="{00000000-0000-0000-0000-000000000000}"/>
  <bookViews>
    <workbookView xWindow="28680" yWindow="-120" windowWidth="29040" windowHeight="158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1" l="1"/>
  <c r="D21" i="1"/>
  <c r="D36" i="1"/>
  <c r="D42" i="1"/>
  <c r="D50" i="1"/>
  <c r="D49" i="1"/>
  <c r="D48" i="1"/>
  <c r="D47" i="1"/>
  <c r="D46" i="1"/>
  <c r="D45" i="1"/>
  <c r="D44" i="1"/>
  <c r="D43" i="1"/>
  <c r="D41" i="1"/>
  <c r="D40" i="1"/>
  <c r="D39" i="1"/>
  <c r="D38" i="1"/>
  <c r="D22" i="1" l="1"/>
  <c r="D23" i="1" s="1"/>
  <c r="G21" i="1" s="1"/>
</calcChain>
</file>

<file path=xl/sharedStrings.xml><?xml version="1.0" encoding="utf-8"?>
<sst xmlns="http://schemas.openxmlformats.org/spreadsheetml/2006/main" count="47" uniqueCount="47">
  <si>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</si>
  <si>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</si>
  <si>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</si>
  <si>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</si>
  <si>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</si>
  <si>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</si>
  <si>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</si>
  <si>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</si>
  <si>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</si>
  <si>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</si>
  <si>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</si>
  <si>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</si>
  <si>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</si>
  <si>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</si>
  <si>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</si>
  <si>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</si>
  <si>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</si>
  <si>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</si>
  <si>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</si>
  <si>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</si>
  <si>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Counter</t>
  </si>
  <si>
    <t>Airfoil_Point</t>
  </si>
  <si>
    <t>Pressure</t>
  </si>
  <si>
    <t>Static</t>
  </si>
  <si>
    <t>Pitot</t>
  </si>
  <si>
    <t>AirSpeed</t>
  </si>
  <si>
    <t>Cp</t>
  </si>
  <si>
    <t>Upper =</t>
  </si>
  <si>
    <t>Lower =</t>
  </si>
  <si>
    <t>Cl =</t>
  </si>
  <si>
    <t>Cl Upper 1 =</t>
  </si>
  <si>
    <t>Cl Upper 2 =</t>
  </si>
  <si>
    <t>Cl Upper 3 =</t>
  </si>
  <si>
    <t>Cl Upper 4 =</t>
  </si>
  <si>
    <t>Cl Upper 5 =</t>
  </si>
  <si>
    <t>Cl Upper 6 =</t>
  </si>
  <si>
    <t>Cl Upper 7 =</t>
  </si>
  <si>
    <t>Cl Lower 1 =</t>
  </si>
  <si>
    <t>Cl Lower 2 =</t>
  </si>
  <si>
    <t>Cl Lower 3 =</t>
  </si>
  <si>
    <t>Cl Lower 4 =</t>
  </si>
  <si>
    <t>Cl Lower 5 =</t>
  </si>
  <si>
    <t>Cl Lower 6 =</t>
  </si>
  <si>
    <t>Cl Lower 7 =</t>
  </si>
  <si>
    <t>Lift       =</t>
  </si>
  <si>
    <t>ACET</t>
  </si>
  <si>
    <t>Cl Upper 0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</si>
</sst>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00"/>
    <numFmt numFmtId="165" formatCode="_(* #,##0.0000_);_(* \(#,##0.0000\);_(* &quot;-&quot;??_);_(@_)"/>
  </numFmts>
  <fonts count="10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Cambria"/>
      <family val="1"/>
      <scheme val="major"/>
    </font>
    <font>
      <b/>
      <sz val="14"/>
      <name val="Cambria"/>
      <family val="1"/>
      <scheme val="major"/>
    </font>
    <font>
      <b/>
      <sz val="24"/>
      <color theme="3" tint="0.3999755851924192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43" fontId="5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6" borderId="7" xfId="0" applyNumberFormat="1" applyFill="1" applyBorder="1" applyAlignment="1">
      <alignment horizontal="center"/>
    </xf>
    <xf numFmtId="19" fontId="0" fillId="6" borderId="7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7" xfId="0" applyFill="1" applyBorder="1" applyAlignment="1">
      <alignment horizontal="center" wrapText="1"/>
    </xf>
    <xf numFmtId="0" fontId="2" fillId="6" borderId="7" xfId="0" applyFont="1" applyFill="1" applyBorder="1" applyAlignment="1">
      <alignment horizontal="center"/>
    </xf>
    <xf numFmtId="19" fontId="2" fillId="6" borderId="7" xfId="0" applyNumberFormat="1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65" fontId="0" fillId="3" borderId="7" xfId="2" applyNumberFormat="1" applyFont="1" applyFill="1" applyBorder="1"/>
    <xf numFmtId="0" fontId="0" fillId="4" borderId="7" xfId="0" applyFill="1" applyBorder="1" applyAlignment="1">
      <alignment horizontal="center"/>
    </xf>
    <xf numFmtId="165" fontId="0" fillId="4" borderId="7" xfId="2" applyNumberFormat="1" applyFont="1" applyFill="1" applyBorder="1"/>
    <xf numFmtId="0" fontId="2" fillId="3" borderId="7" xfId="0" applyFont="1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4" fontId="0" fillId="6" borderId="10" xfId="0" applyNumberFormat="1" applyFill="1" applyBorder="1" applyAlignment="1">
      <alignment horizontal="center"/>
    </xf>
    <xf numFmtId="19" fontId="0" fillId="6" borderId="10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165" fontId="0" fillId="4" borderId="10" xfId="2" applyNumberFormat="1" applyFont="1" applyFill="1" applyBorder="1"/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</xf>
    <xf numFmtId="0" fontId="1" fillId="0" borderId="0" xfId="0" applyFont="1" applyAlignment="1"/>
    <xf numFmtId="0" fontId="8" fillId="7" borderId="20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22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7" borderId="26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2" fontId="9" fillId="0" borderId="12" xfId="0" applyNumberFormat="1" applyFont="1" applyBorder="1" applyAlignment="1">
      <alignment horizontal="center"/>
    </xf>
    <xf numFmtId="0" fontId="9" fillId="0" borderId="12" xfId="0" applyFont="1" applyBorder="1" applyAlignment="1">
      <alignment horizontal="center"/>
    </xf>
  </cellXfs>
  <cellStyles count="3">
    <cellStyle name="Comma" xfId="2" builtinId="3"/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Cp</a:t>
            </a:r>
            <a:r>
              <a:rPr lang="en-US" baseline="0"/>
              <a:t> vs X/c</a:t>
            </a:r>
            <a:endParaRPr lang="th-TH"/>
          </a:p>
        </c:rich>
      </c:tx>
      <c:layout>
        <c:manualLayout>
          <c:xMode val="edge"/>
          <c:yMode val="edge"/>
          <c:x val="0.40631853633774551"/>
          <c:y val="4.47119449293687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Upper Surface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Data'!$D$2:$D$10</c:f>
              <c:numCache>
                <c:formatCode>General</c:formatCode>
                <c:ptCount val="9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0.2</c:v>
                </c:pt>
                <c:pt idx="4">
                  <c:v>0.3</c:v>
                </c:pt>
                <c:pt idx="5">
                  <c:v>0.5</c:v>
                </c:pt>
                <c:pt idx="6">
                  <c:v>0.72</c:v>
                </c:pt>
                <c:pt idx="7">
                  <c:v>0.89</c:v>
                </c:pt>
                <c:pt idx="8">
                  <c:v>0.95</c:v>
                </c:pt>
              </c:numCache>
            </c:numRef>
          </c:xVal>
          <c:yVal>
            <c:numRef>
              <c:f>'Simple Data'!$I$2:$I$10</c:f>
              <c:numCache>
                <c:formatCode>General</c:formatCode>
                <c:ptCount val="9"/>
                <c:pt idx="0">
                  <c:v>0.75392692537499995</c:v>
                </c:pt>
                <c:pt idx="1">
                  <c:v>-0.38912701599999999</c:v>
                </c:pt>
                <c:pt idx="2">
                  <c:v>-0.55036836899999997</c:v>
                </c:pt>
                <c:pt idx="3">
                  <c:v>-0.65761411199999997</c:v>
                </c:pt>
                <c:pt idx="4">
                  <c:v>-0.68424344100000001</c:v>
                </c:pt>
                <c:pt idx="5">
                  <c:v>-0.50676238500000004</c:v>
                </c:pt>
                <c:pt idx="6">
                  <c:v>-0.309690207</c:v>
                </c:pt>
                <c:pt idx="7">
                  <c:v>-8.1217221899999997E-2</c:v>
                </c:pt>
                <c:pt idx="8">
                  <c:v>2.30750926E-2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6-4E76-A677-ACABFBDE47EB}"/>
            </c:ext>
          </c:extLst>
        </c:ser>
        <c:ser>
          <c:idx val="1"/>
          <c:order val="1"/>
          <c:tx>
            <c:v>Lower Surface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Data'!$D$11:$D$18</c:f>
              <c:numCache>
                <c:formatCode>General</c:formatCode>
                <c:ptCount val="8"/>
                <c:pt idx="0">
                  <c:v>0.06</c:v>
                </c:pt>
                <c:pt idx="1">
                  <c:v>0.12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0.72</c:v>
                </c:pt>
                <c:pt idx="6">
                  <c:v>0.89</c:v>
                </c:pt>
                <c:pt idx="7">
                  <c:v>0.95</c:v>
                </c:pt>
              </c:numCache>
            </c:numRef>
          </c:xVal>
          <c:yVal>
            <c:numRef>
              <c:f>'Simple Data'!$I$11:$I$18</c:f>
              <c:numCache>
                <c:formatCode>General</c:formatCode>
                <c:ptCount val="8"/>
                <c:pt idx="0">
                  <c:v>-0.26056131700000001</c:v>
                </c:pt>
                <c:pt idx="1">
                  <c:v>-0.16524296999999999</c:v>
                </c:pt>
                <c:pt idx="2">
                  <c:v>-8.0002620799999993E-2</c:v>
                </c:pt>
                <c:pt idx="3">
                  <c:v>8.44822917E-3</c:v>
                </c:pt>
                <c:pt idx="4">
                  <c:v>7.1822941299999998E-2</c:v>
                </c:pt>
                <c:pt idx="5">
                  <c:v>0.125889689</c:v>
                </c:pt>
                <c:pt idx="6">
                  <c:v>0.154166147</c:v>
                </c:pt>
                <c:pt idx="7">
                  <c:v>0.17768214133333335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16-4E76-A677-ACABFBDE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753376"/>
        <c:axId val="1644485808"/>
      </c:scatterChart>
      <c:valAx>
        <c:axId val="164775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>
                      <a:solidFill>
                        <a:schemeClr val="tx1"/>
                      </a:solidFill>
                    </a:ln>
                  </a:rPr>
                  <a:t>X/c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4485808"/>
        <c:crosses val="autoZero"/>
        <c:crossBetween val="midCat"/>
      </c:valAx>
      <c:valAx>
        <c:axId val="16444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 w="9525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n w="9525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</a:ln>
                    <a:solidFill>
                      <a:schemeClr val="tx1"/>
                    </a:solidFill>
                  </a:rPr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 w="9525"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753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512640</xdr:colOff>
          <xdr:row>11</xdr:row>
          <xdr:rowOff>20516</xdr:rowOff>
        </xdr:from>
        <xdr:to>
          <xdr:col>7</xdr:col>
          <xdr:colOff>274515</xdr:colOff>
          <xdr:row>12</xdr:row>
          <xdr:rowOff>124557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3810</xdr:colOff>
      <xdr:row>0</xdr:row>
      <xdr:rowOff>7326</xdr:rowOff>
    </xdr:from>
    <xdr:to>
      <xdr:col>15</xdr:col>
      <xdr:colOff>80010</xdr:colOff>
      <xdr:row>24</xdr:row>
      <xdr:rowOff>115277</xdr:rowOff>
    </xdr:to>
    <xdr:graphicFrame macro="">
      <xdr:nvGraphicFramePr>
        <xdr:cNvPr id="5" name="แผนภูมิ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130" zoomScaleNormal="130" workbookViewId="0">
      <pane ySplit="1" topLeftCell="A2" activePane="bottomLeft" state="frozen"/>
      <selection pane="bottomLeft" activeCell="E21" sqref="E21:E3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0.5703125" style="9" customWidth="1"/>
    <col min="4" max="4" width="12.28515625" style="10" customWidth="1"/>
    <col min="5" max="5" width="15.5703125" style="5" customWidth="1"/>
    <col min="6" max="6" width="10.5703125" style="9" customWidth="1"/>
    <col min="7" max="8" width="10.5703125" style="5" customWidth="1"/>
    <col min="9" max="9" width="8.7109375" style="5" customWidth="1"/>
    <col min="10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24" t="s">
        <v>18</v>
      </c>
      <c r="B1" s="24" t="s">
        <v>19</v>
      </c>
      <c r="C1" s="24" t="s">
        <v>20</v>
      </c>
      <c r="D1" s="24" t="s">
        <v>21</v>
      </c>
      <c r="E1" s="24" t="s">
        <v>22</v>
      </c>
      <c r="F1" s="24" t="s">
        <v>24</v>
      </c>
      <c r="G1" s="24" t="s">
        <v>23</v>
      </c>
      <c r="H1" s="24" t="s">
        <v>25</v>
      </c>
      <c r="I1" s="24" t="s">
        <v>26</v>
      </c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6"/>
      <c r="V1" s="6"/>
      <c r="W1" s="6"/>
      <c r="X1" s="6"/>
      <c r="Y1" s="6"/>
      <c r="Z1" s="6"/>
    </row>
    <row r="2" spans="1:26" ht="12.75" customHeight="1" x14ac:dyDescent="0.2">
      <c r="A2" s="11">
        <v>43560</v>
      </c>
      <c r="B2" s="12">
        <v>0.68490740740740741</v>
      </c>
      <c r="C2" s="13">
        <v>1</v>
      </c>
      <c r="D2" s="17">
        <v>0</v>
      </c>
      <c r="E2" s="18">
        <v>101454.97262499999</v>
      </c>
      <c r="F2" s="49" t="s">
        <v>45</v>
      </c>
      <c r="G2" s="50"/>
      <c r="H2" s="51"/>
      <c r="I2" s="21">
        <v>0.75392692537499995</v>
      </c>
      <c r="J2" s="48"/>
      <c r="K2" s="48"/>
      <c r="L2" s="48"/>
      <c r="M2" s="48"/>
      <c r="N2" s="48"/>
      <c r="O2" s="48"/>
      <c r="S2" s="48"/>
      <c r="T2" s="48"/>
      <c r="U2" s="7"/>
      <c r="V2" s="7"/>
      <c r="W2" s="7"/>
      <c r="X2" s="7"/>
      <c r="Y2" s="7"/>
      <c r="Z2" s="7"/>
    </row>
    <row r="3" spans="1:26" x14ac:dyDescent="0.2">
      <c r="A3" s="11">
        <v>43560</v>
      </c>
      <c r="B3" s="12">
        <v>0.68490740740740741</v>
      </c>
      <c r="C3" s="13">
        <v>1</v>
      </c>
      <c r="D3" s="17">
        <v>0.06</v>
      </c>
      <c r="E3" s="18">
        <v>101251.20299999999</v>
      </c>
      <c r="F3" s="52"/>
      <c r="G3" s="53"/>
      <c r="H3" s="54"/>
      <c r="I3" s="21">
        <v>-0.38912701599999999</v>
      </c>
      <c r="J3" s="48"/>
      <c r="K3" s="48"/>
      <c r="L3" s="48"/>
      <c r="M3" s="48"/>
      <c r="N3" s="48"/>
      <c r="O3" s="48"/>
      <c r="S3" s="48"/>
      <c r="T3" s="48"/>
      <c r="U3" s="7"/>
      <c r="V3" s="7"/>
      <c r="W3" s="7"/>
      <c r="X3" s="7"/>
      <c r="Y3" s="7"/>
      <c r="Z3" s="7"/>
    </row>
    <row r="4" spans="1:26" x14ac:dyDescent="0.2">
      <c r="A4" s="11">
        <v>43560</v>
      </c>
      <c r="B4" s="12">
        <v>0.68490740740740741</v>
      </c>
      <c r="C4" s="13">
        <v>1</v>
      </c>
      <c r="D4" s="17">
        <v>0.12</v>
      </c>
      <c r="E4" s="18">
        <v>101220.93799999999</v>
      </c>
      <c r="F4" s="52"/>
      <c r="G4" s="53"/>
      <c r="H4" s="54"/>
      <c r="I4" s="17">
        <v>-0.55036836899999997</v>
      </c>
      <c r="J4" s="48"/>
      <c r="K4" s="48"/>
      <c r="L4" s="48"/>
      <c r="M4" s="48"/>
      <c r="N4" s="48"/>
      <c r="O4" s="48"/>
      <c r="S4" s="48"/>
      <c r="T4" s="48"/>
      <c r="U4" s="7"/>
      <c r="V4" s="7"/>
      <c r="W4" s="7"/>
      <c r="X4" s="7"/>
      <c r="Y4" s="7"/>
      <c r="Z4" s="7"/>
    </row>
    <row r="5" spans="1:26" x14ac:dyDescent="0.2">
      <c r="A5" s="11">
        <v>43560</v>
      </c>
      <c r="B5" s="12">
        <v>0.68491898148148145</v>
      </c>
      <c r="C5" s="13">
        <v>1</v>
      </c>
      <c r="D5" s="17">
        <v>0.2</v>
      </c>
      <c r="E5" s="18">
        <v>101200.469</v>
      </c>
      <c r="F5" s="52"/>
      <c r="G5" s="53"/>
      <c r="H5" s="54"/>
      <c r="I5" s="17">
        <v>-0.65761411199999997</v>
      </c>
      <c r="J5" s="48"/>
      <c r="K5" s="48"/>
      <c r="L5" s="48"/>
      <c r="M5" s="48"/>
      <c r="N5" s="48"/>
      <c r="O5" s="48"/>
      <c r="S5" s="48"/>
      <c r="T5" s="48"/>
      <c r="U5" s="7"/>
      <c r="V5" s="7"/>
      <c r="W5" s="7"/>
      <c r="X5" s="7"/>
      <c r="Y5" s="7"/>
      <c r="Z5" s="7"/>
    </row>
    <row r="6" spans="1:26" x14ac:dyDescent="0.2">
      <c r="A6" s="11">
        <v>43560</v>
      </c>
      <c r="B6" s="12">
        <v>0.68491898148148145</v>
      </c>
      <c r="C6" s="14">
        <v>1</v>
      </c>
      <c r="D6" s="17">
        <v>0.3</v>
      </c>
      <c r="E6" s="18">
        <v>101197.539</v>
      </c>
      <c r="F6" s="52"/>
      <c r="G6" s="53"/>
      <c r="H6" s="54"/>
      <c r="I6" s="17">
        <v>-0.68424344100000001</v>
      </c>
      <c r="J6" s="48"/>
      <c r="K6" s="48"/>
      <c r="L6" s="48"/>
      <c r="M6" s="48"/>
      <c r="N6" s="48"/>
      <c r="O6" s="48"/>
      <c r="S6" s="48"/>
      <c r="T6" s="48"/>
      <c r="U6" s="7"/>
      <c r="V6" s="7"/>
      <c r="W6" s="7"/>
      <c r="X6" s="7"/>
      <c r="Y6" s="7"/>
      <c r="Z6" s="7"/>
    </row>
    <row r="7" spans="1:26" x14ac:dyDescent="0.2">
      <c r="A7" s="11">
        <v>43560</v>
      </c>
      <c r="B7" s="12">
        <v>0.68491898148148145</v>
      </c>
      <c r="C7" s="13">
        <v>1</v>
      </c>
      <c r="D7" s="17">
        <v>0.5</v>
      </c>
      <c r="E7" s="18">
        <v>101228.273</v>
      </c>
      <c r="F7" s="52"/>
      <c r="G7" s="53"/>
      <c r="H7" s="54"/>
      <c r="I7" s="17">
        <v>-0.50676238500000004</v>
      </c>
      <c r="J7" s="48"/>
      <c r="K7" s="48"/>
      <c r="L7" s="48"/>
      <c r="M7" s="48"/>
      <c r="N7" s="48"/>
      <c r="O7" s="48"/>
      <c r="S7" s="48"/>
      <c r="T7" s="48"/>
      <c r="U7" s="7"/>
      <c r="V7" s="7"/>
      <c r="W7" s="7"/>
      <c r="X7" s="7"/>
      <c r="Y7" s="7"/>
      <c r="Z7" s="7"/>
    </row>
    <row r="8" spans="1:26" x14ac:dyDescent="0.2">
      <c r="A8" s="11">
        <v>43560</v>
      </c>
      <c r="B8" s="12">
        <v>0.68491898148148145</v>
      </c>
      <c r="C8" s="13">
        <v>1</v>
      </c>
      <c r="D8" s="17">
        <v>0.72</v>
      </c>
      <c r="E8" s="18">
        <v>101265.398</v>
      </c>
      <c r="F8" s="52"/>
      <c r="G8" s="53"/>
      <c r="H8" s="54"/>
      <c r="I8" s="17">
        <v>-0.309690207</v>
      </c>
      <c r="J8" s="48"/>
      <c r="K8" s="48"/>
      <c r="L8" s="48"/>
      <c r="M8" s="48"/>
      <c r="N8" s="48"/>
      <c r="O8" s="48"/>
      <c r="S8" s="48"/>
      <c r="T8" s="48"/>
      <c r="U8" s="7"/>
      <c r="V8" s="7"/>
      <c r="W8" s="7"/>
      <c r="X8" s="7"/>
      <c r="Y8" s="7"/>
      <c r="Z8" s="7"/>
    </row>
    <row r="9" spans="1:26" x14ac:dyDescent="0.2">
      <c r="A9" s="11">
        <v>43560</v>
      </c>
      <c r="B9" s="12">
        <v>0.68493055555555549</v>
      </c>
      <c r="C9" s="15">
        <v>1</v>
      </c>
      <c r="D9" s="17">
        <v>0.89</v>
      </c>
      <c r="E9" s="18">
        <v>101310.508</v>
      </c>
      <c r="F9" s="52"/>
      <c r="G9" s="53"/>
      <c r="H9" s="54"/>
      <c r="I9" s="17">
        <v>-8.1217221899999997E-2</v>
      </c>
      <c r="J9" s="48"/>
      <c r="K9" s="48"/>
      <c r="L9" s="48"/>
      <c r="M9" s="48"/>
      <c r="N9" s="48"/>
      <c r="O9" s="48"/>
      <c r="S9" s="48"/>
      <c r="T9" s="48"/>
      <c r="U9" s="7"/>
      <c r="V9" s="7"/>
      <c r="W9" s="7"/>
      <c r="X9" s="7"/>
      <c r="Y9" s="7"/>
      <c r="Z9" s="7"/>
    </row>
    <row r="10" spans="1:26" x14ac:dyDescent="0.2">
      <c r="A10" s="11">
        <v>43560</v>
      </c>
      <c r="B10" s="12">
        <v>0.68493055555555549</v>
      </c>
      <c r="C10" s="13">
        <v>1</v>
      </c>
      <c r="D10" s="17">
        <v>0.95</v>
      </c>
      <c r="E10" s="18">
        <v>101328.648</v>
      </c>
      <c r="F10" s="52"/>
      <c r="G10" s="53"/>
      <c r="H10" s="54"/>
      <c r="I10" s="17">
        <v>2.30750926E-2</v>
      </c>
      <c r="J10" s="48"/>
      <c r="K10" s="48"/>
      <c r="L10" s="48"/>
      <c r="M10" s="48"/>
      <c r="N10" s="48"/>
      <c r="O10" s="48"/>
      <c r="S10" s="48"/>
      <c r="T10" s="48"/>
      <c r="U10" s="7"/>
      <c r="V10" s="7"/>
      <c r="W10" s="7"/>
      <c r="X10" s="7"/>
      <c r="Y10" s="7"/>
      <c r="Z10" s="7"/>
    </row>
    <row r="11" spans="1:26" x14ac:dyDescent="0.2">
      <c r="A11" s="11">
        <v>43560</v>
      </c>
      <c r="B11" s="12">
        <v>0.68493055555555549</v>
      </c>
      <c r="C11" s="14">
        <v>1</v>
      </c>
      <c r="D11" s="19">
        <v>0.06</v>
      </c>
      <c r="E11" s="20">
        <v>101274.352</v>
      </c>
      <c r="F11" s="52"/>
      <c r="G11" s="53"/>
      <c r="H11" s="54"/>
      <c r="I11" s="19">
        <v>-0.26056131700000001</v>
      </c>
      <c r="J11" s="48"/>
      <c r="K11" s="48"/>
      <c r="L11" s="48"/>
      <c r="M11" s="48"/>
      <c r="N11" s="48"/>
      <c r="O11" s="48"/>
      <c r="S11" s="48"/>
      <c r="T11" s="48"/>
      <c r="U11" s="7"/>
      <c r="V11" s="7"/>
      <c r="W11" s="7"/>
      <c r="X11" s="7"/>
      <c r="Y11" s="7"/>
      <c r="Z11" s="7"/>
    </row>
    <row r="12" spans="1:26" x14ac:dyDescent="0.2">
      <c r="A12" s="11">
        <v>43560</v>
      </c>
      <c r="B12" s="12">
        <v>0.68493055555555549</v>
      </c>
      <c r="C12" s="13">
        <v>1</v>
      </c>
      <c r="D12" s="19">
        <v>0.12</v>
      </c>
      <c r="E12" s="20">
        <v>101293.125</v>
      </c>
      <c r="F12" s="52"/>
      <c r="G12" s="53"/>
      <c r="H12" s="54"/>
      <c r="I12" s="19">
        <v>-0.16524296999999999</v>
      </c>
      <c r="J12" s="48"/>
      <c r="K12" s="48"/>
      <c r="L12" s="48"/>
      <c r="M12" s="48"/>
      <c r="N12" s="48"/>
      <c r="O12" s="48"/>
      <c r="S12" s="48"/>
      <c r="T12" s="48"/>
      <c r="U12" s="7"/>
      <c r="V12" s="7"/>
      <c r="W12" s="7"/>
      <c r="X12" s="7"/>
      <c r="Y12" s="7"/>
      <c r="Z12" s="7"/>
    </row>
    <row r="13" spans="1:26" x14ac:dyDescent="0.2">
      <c r="A13" s="11">
        <v>43560</v>
      </c>
      <c r="B13" s="16">
        <v>0.68494212962962964</v>
      </c>
      <c r="C13" s="13">
        <v>1</v>
      </c>
      <c r="D13" s="19">
        <v>0.2</v>
      </c>
      <c r="E13" s="20">
        <v>101310.516</v>
      </c>
      <c r="F13" s="52"/>
      <c r="G13" s="53"/>
      <c r="H13" s="54"/>
      <c r="I13" s="19">
        <v>-8.0002620799999993E-2</v>
      </c>
      <c r="J13" s="48"/>
      <c r="K13" s="48"/>
      <c r="L13" s="48"/>
      <c r="M13" s="48"/>
      <c r="N13" s="48"/>
      <c r="O13" s="48"/>
      <c r="S13" s="48"/>
      <c r="T13" s="48"/>
      <c r="U13" s="7"/>
      <c r="V13" s="7"/>
      <c r="W13" s="7"/>
      <c r="X13" s="7"/>
      <c r="Y13" s="7"/>
      <c r="Z13" s="7"/>
    </row>
    <row r="14" spans="1:26" x14ac:dyDescent="0.2">
      <c r="A14" s="11">
        <v>43560</v>
      </c>
      <c r="B14" s="12">
        <v>0.68494212962962964</v>
      </c>
      <c r="C14" s="13">
        <v>1</v>
      </c>
      <c r="D14" s="19">
        <v>0.3</v>
      </c>
      <c r="E14" s="20">
        <v>101325.79700000001</v>
      </c>
      <c r="F14" s="52"/>
      <c r="G14" s="53"/>
      <c r="H14" s="54"/>
      <c r="I14" s="19">
        <v>8.44822917E-3</v>
      </c>
      <c r="J14" s="48"/>
      <c r="K14" s="48"/>
      <c r="L14" s="48"/>
      <c r="M14" s="48"/>
      <c r="N14" s="48"/>
      <c r="O14" s="48"/>
      <c r="S14" s="48"/>
      <c r="T14" s="48"/>
      <c r="U14" s="7"/>
      <c r="V14" s="7"/>
      <c r="W14" s="7"/>
      <c r="X14" s="7"/>
      <c r="Y14" s="7"/>
      <c r="Z14" s="7"/>
    </row>
    <row r="15" spans="1:26" x14ac:dyDescent="0.2">
      <c r="A15" s="11">
        <v>43560</v>
      </c>
      <c r="B15" s="12">
        <v>0.68494212962962964</v>
      </c>
      <c r="C15" s="13">
        <v>1</v>
      </c>
      <c r="D15" s="19">
        <v>0.5</v>
      </c>
      <c r="E15" s="20">
        <v>101337.75</v>
      </c>
      <c r="F15" s="52"/>
      <c r="G15" s="53"/>
      <c r="H15" s="54"/>
      <c r="I15" s="19">
        <v>7.1822941299999998E-2</v>
      </c>
      <c r="J15" s="48"/>
      <c r="K15" s="48"/>
      <c r="L15" s="48"/>
      <c r="M15" s="48"/>
      <c r="N15" s="48"/>
      <c r="O15" s="48"/>
      <c r="S15" s="48"/>
      <c r="T15" s="48"/>
      <c r="U15" s="7"/>
      <c r="V15" s="7"/>
      <c r="W15" s="7"/>
      <c r="X15" s="7"/>
      <c r="Y15" s="7"/>
      <c r="Z15" s="7"/>
    </row>
    <row r="16" spans="1:26" x14ac:dyDescent="0.2">
      <c r="A16" s="11">
        <v>43560</v>
      </c>
      <c r="B16" s="12">
        <v>0.68494212962962964</v>
      </c>
      <c r="C16" s="13">
        <v>1</v>
      </c>
      <c r="D16" s="19">
        <v>0.72</v>
      </c>
      <c r="E16" s="20">
        <v>101347.7265</v>
      </c>
      <c r="F16" s="52"/>
      <c r="G16" s="53"/>
      <c r="H16" s="54"/>
      <c r="I16" s="19">
        <v>0.125889689</v>
      </c>
      <c r="J16" s="48"/>
      <c r="K16" s="48"/>
      <c r="L16" s="48"/>
      <c r="M16" s="48"/>
      <c r="N16" s="48"/>
      <c r="O16" s="48"/>
      <c r="S16" s="48"/>
      <c r="T16" s="48"/>
      <c r="U16" s="7"/>
      <c r="V16" s="7"/>
      <c r="W16" s="7"/>
      <c r="X16" s="7"/>
      <c r="Y16" s="7"/>
      <c r="Z16" s="7"/>
    </row>
    <row r="17" spans="1:26" x14ac:dyDescent="0.2">
      <c r="A17" s="33">
        <v>43560</v>
      </c>
      <c r="B17" s="34">
        <v>0.68495370370370379</v>
      </c>
      <c r="C17" s="35">
        <v>1</v>
      </c>
      <c r="D17" s="19">
        <v>0.89</v>
      </c>
      <c r="E17" s="20">
        <v>101352.586</v>
      </c>
      <c r="F17" s="52"/>
      <c r="G17" s="53"/>
      <c r="H17" s="54"/>
      <c r="I17" s="19">
        <v>0.154166147</v>
      </c>
      <c r="J17" s="48"/>
      <c r="K17" s="48"/>
      <c r="L17" s="48"/>
      <c r="M17" s="48"/>
      <c r="N17" s="48"/>
      <c r="O17" s="48"/>
      <c r="S17" s="48"/>
      <c r="T17" s="48"/>
      <c r="U17" s="7"/>
      <c r="V17" s="7"/>
      <c r="W17" s="7"/>
      <c r="X17" s="7"/>
      <c r="Y17" s="7"/>
      <c r="Z17" s="7"/>
    </row>
    <row r="18" spans="1:26" x14ac:dyDescent="0.2">
      <c r="A18" s="33">
        <v>43560</v>
      </c>
      <c r="B18" s="34">
        <v>0.68495370370370379</v>
      </c>
      <c r="C18" s="35">
        <v>1</v>
      </c>
      <c r="D18" s="36">
        <v>0.95</v>
      </c>
      <c r="E18" s="37">
        <v>101356.461</v>
      </c>
      <c r="F18" s="55"/>
      <c r="G18" s="56"/>
      <c r="H18" s="57"/>
      <c r="I18" s="19">
        <v>0.17768214133333335</v>
      </c>
      <c r="J18" s="48"/>
      <c r="K18" s="48"/>
      <c r="L18" s="48"/>
      <c r="M18" s="48"/>
      <c r="N18" s="48"/>
      <c r="O18" s="48"/>
      <c r="S18" s="48"/>
      <c r="T18" s="48"/>
      <c r="U18" s="7"/>
      <c r="V18" s="7"/>
      <c r="W18" s="7"/>
      <c r="X18" s="7"/>
      <c r="Y18" s="7"/>
      <c r="Z18" s="7"/>
    </row>
    <row r="19" spans="1:26" x14ac:dyDescent="0.2">
      <c r="A19" s="62"/>
      <c r="B19" s="62"/>
      <c r="C19" s="61"/>
      <c r="D19" s="61"/>
      <c r="E19" s="61"/>
      <c r="F19" s="22">
        <v>101147</v>
      </c>
      <c r="G19" s="22">
        <v>101325</v>
      </c>
      <c r="H19" s="22">
        <v>17.05</v>
      </c>
      <c r="I19" s="25"/>
      <c r="J19" s="48"/>
      <c r="K19" s="48"/>
      <c r="L19" s="48"/>
      <c r="M19" s="48"/>
      <c r="N19" s="48"/>
      <c r="O19" s="48"/>
      <c r="S19" s="48"/>
      <c r="T19" s="48"/>
      <c r="U19" s="7"/>
      <c r="V19" s="7"/>
      <c r="W19" s="7"/>
      <c r="X19" s="7"/>
      <c r="Y19" s="7"/>
      <c r="Z19" s="7"/>
    </row>
    <row r="20" spans="1:26" x14ac:dyDescent="0.2">
      <c r="A20" s="63"/>
      <c r="B20" s="63"/>
      <c r="C20" s="26"/>
      <c r="D20" s="26"/>
      <c r="E20" s="26"/>
      <c r="F20" s="64"/>
      <c r="G20" s="64"/>
      <c r="H20" s="64"/>
      <c r="I20" s="26"/>
      <c r="J20" s="48"/>
      <c r="K20" s="48"/>
      <c r="L20" s="48"/>
      <c r="M20" s="48"/>
      <c r="N20" s="48"/>
      <c r="O20" s="48"/>
      <c r="S20" s="48"/>
      <c r="T20" s="48"/>
      <c r="U20" s="7"/>
      <c r="V20" s="7"/>
      <c r="W20" s="7"/>
      <c r="X20" s="7"/>
      <c r="Y20" s="7"/>
      <c r="Z20" s="7"/>
    </row>
    <row r="21" spans="1:26" x14ac:dyDescent="0.2">
      <c r="A21" s="63"/>
      <c r="B21" s="63"/>
      <c r="C21" s="17" t="s">
        <v>27</v>
      </c>
      <c r="D21" s="17">
        <f>SUM(D37+D38+D39+D40+D41+D42+D36)</f>
        <v>-0.37479054033525</v>
      </c>
      <c r="E21" s="26"/>
      <c r="F21" s="40" t="s">
        <v>44</v>
      </c>
      <c r="G21" s="41">
        <f>(1.225* POWER((H19),2)*0.000009*D23)/2</f>
        <v>6.604927052555233E-4</v>
      </c>
      <c r="H21" s="42"/>
      <c r="I21" s="26"/>
      <c r="J21" s="48"/>
      <c r="K21" s="48"/>
      <c r="L21" s="48"/>
      <c r="M21" s="48"/>
      <c r="N21" s="48"/>
      <c r="O21" s="48"/>
      <c r="S21" s="48"/>
      <c r="T21" s="48"/>
      <c r="U21" s="7"/>
      <c r="V21" s="7"/>
      <c r="W21" s="7"/>
      <c r="X21" s="7"/>
      <c r="Y21" s="7"/>
      <c r="Z21" s="7"/>
    </row>
    <row r="22" spans="1:26" x14ac:dyDescent="0.2">
      <c r="A22" s="63"/>
      <c r="B22" s="63"/>
      <c r="C22" s="19" t="s">
        <v>28</v>
      </c>
      <c r="D22" s="23">
        <f>SUM(D44+D45+D46+D47+D48+D49+D50)</f>
        <v>3.7374029266499992E-2</v>
      </c>
      <c r="E22" s="26"/>
      <c r="F22" s="43"/>
      <c r="G22" s="38"/>
      <c r="H22" s="44"/>
      <c r="I22" s="26"/>
      <c r="J22" s="48"/>
      <c r="K22" s="48"/>
      <c r="L22" s="48"/>
      <c r="M22" s="48"/>
      <c r="N22" s="48"/>
      <c r="O22" s="48"/>
      <c r="S22" s="48"/>
      <c r="T22" s="48"/>
      <c r="U22" s="7"/>
      <c r="V22" s="7"/>
      <c r="W22" s="7"/>
      <c r="X22" s="7"/>
      <c r="Y22" s="7"/>
      <c r="Z22" s="7"/>
    </row>
    <row r="23" spans="1:26" x14ac:dyDescent="0.2">
      <c r="A23" s="63"/>
      <c r="B23" s="63"/>
      <c r="C23" s="58" t="s">
        <v>29</v>
      </c>
      <c r="D23" s="60">
        <f>D22-D21</f>
        <v>0.41216456960174996</v>
      </c>
      <c r="E23" s="26"/>
      <c r="F23" s="45"/>
      <c r="G23" s="39"/>
      <c r="H23" s="46"/>
      <c r="I23" s="26"/>
      <c r="J23" s="48"/>
      <c r="K23" s="48"/>
      <c r="L23" s="48"/>
      <c r="M23" s="48"/>
      <c r="N23" s="48"/>
      <c r="O23" s="48"/>
      <c r="S23" s="48"/>
      <c r="T23" s="48"/>
      <c r="U23" s="7"/>
      <c r="V23" s="7"/>
      <c r="W23" s="7"/>
      <c r="X23" s="7"/>
      <c r="Y23" s="7"/>
      <c r="Z23" s="7"/>
    </row>
    <row r="24" spans="1:26" x14ac:dyDescent="0.2">
      <c r="A24" s="63"/>
      <c r="B24" s="63"/>
      <c r="C24" s="25"/>
      <c r="D24" s="59"/>
      <c r="E24" s="26"/>
      <c r="F24" s="26"/>
      <c r="G24" s="26"/>
      <c r="H24" s="26"/>
      <c r="I24" s="26"/>
      <c r="J24" s="48"/>
      <c r="K24" s="48"/>
      <c r="L24" s="48"/>
      <c r="M24" s="48"/>
      <c r="N24" s="48"/>
      <c r="O24" s="48"/>
      <c r="S24" s="48"/>
      <c r="T24" s="48"/>
      <c r="U24" s="7"/>
      <c r="V24" s="7"/>
      <c r="W24" s="7"/>
      <c r="X24" s="7"/>
      <c r="Y24" s="7"/>
      <c r="Z24" s="7"/>
    </row>
    <row r="25" spans="1:26" x14ac:dyDescent="0.2">
      <c r="A25" s="63"/>
      <c r="B25" s="63"/>
      <c r="C25" s="26"/>
      <c r="D25" s="26"/>
      <c r="E25" s="26"/>
      <c r="F25" s="26"/>
      <c r="G25" s="26"/>
      <c r="H25" s="26"/>
      <c r="I25" s="26"/>
      <c r="J25" s="48"/>
      <c r="K25" s="48"/>
      <c r="L25" s="48"/>
      <c r="M25" s="48"/>
      <c r="N25" s="48"/>
      <c r="O25" s="48"/>
      <c r="S25" s="48"/>
      <c r="T25" s="48"/>
      <c r="U25" s="7"/>
      <c r="V25" s="7"/>
      <c r="W25" s="7"/>
      <c r="X25" s="7"/>
      <c r="Y25" s="7"/>
      <c r="Z25" s="7"/>
    </row>
    <row r="26" spans="1:26" x14ac:dyDescent="0.2">
      <c r="A26" s="63"/>
      <c r="B26" s="63"/>
      <c r="C26" s="26"/>
      <c r="D26" s="26"/>
      <c r="E26" s="26"/>
      <c r="F26" s="26"/>
      <c r="G26" s="26"/>
      <c r="H26" s="26"/>
      <c r="I26" s="26"/>
      <c r="J26" s="48"/>
      <c r="K26" s="48"/>
      <c r="L26" s="48"/>
      <c r="M26" s="48"/>
      <c r="N26" s="48"/>
      <c r="O26" s="48"/>
      <c r="S26" s="48"/>
      <c r="T26" s="48"/>
      <c r="U26" s="7"/>
      <c r="V26" s="7"/>
      <c r="W26" s="7"/>
      <c r="X26" s="7"/>
      <c r="Y26" s="7"/>
      <c r="Z26" s="7"/>
    </row>
    <row r="27" spans="1:26" x14ac:dyDescent="0.2">
      <c r="A27" s="63"/>
      <c r="B27" s="63"/>
      <c r="C27" s="26"/>
      <c r="D27" s="26"/>
      <c r="E27" s="26"/>
      <c r="F27" s="26"/>
      <c r="G27" s="26"/>
      <c r="H27" s="26"/>
      <c r="I27" s="26"/>
      <c r="J27" s="48"/>
      <c r="K27" s="48"/>
      <c r="L27" s="48"/>
      <c r="M27" s="48"/>
      <c r="N27" s="48"/>
      <c r="O27" s="48"/>
      <c r="S27" s="48"/>
      <c r="T27" s="48"/>
      <c r="U27" s="7"/>
      <c r="V27" s="7"/>
      <c r="W27" s="7"/>
      <c r="X27" s="7"/>
      <c r="Y27" s="7"/>
      <c r="Z27" s="7"/>
    </row>
    <row r="28" spans="1:26" x14ac:dyDescent="0.2">
      <c r="A28" s="63"/>
      <c r="B28" s="63"/>
      <c r="C28" s="26"/>
      <c r="D28" s="26"/>
      <c r="E28" s="26"/>
      <c r="F28" s="26"/>
      <c r="G28" s="26"/>
      <c r="H28" s="26"/>
      <c r="I28" s="26"/>
      <c r="J28" s="48"/>
      <c r="K28" s="48"/>
      <c r="L28" s="48"/>
      <c r="M28" s="48"/>
      <c r="N28" s="48"/>
      <c r="O28" s="48"/>
      <c r="S28" s="48"/>
      <c r="T28" s="48"/>
      <c r="U28" s="7"/>
      <c r="V28" s="7"/>
      <c r="W28" s="7"/>
      <c r="X28" s="7"/>
      <c r="Y28" s="7"/>
      <c r="Z28" s="7"/>
    </row>
    <row r="29" spans="1:26" x14ac:dyDescent="0.2">
      <c r="A29" s="63"/>
      <c r="B29" s="63"/>
      <c r="C29" s="26"/>
      <c r="D29" s="26"/>
      <c r="E29" s="26"/>
      <c r="F29" s="26"/>
      <c r="G29" s="26"/>
      <c r="H29" s="26"/>
      <c r="I29" s="26"/>
      <c r="J29" s="48"/>
      <c r="K29" s="48"/>
      <c r="L29" s="48"/>
      <c r="M29" s="48"/>
      <c r="N29" s="48"/>
      <c r="O29" s="48"/>
      <c r="S29" s="48"/>
      <c r="T29" s="48"/>
      <c r="U29" s="7"/>
      <c r="V29" s="7"/>
      <c r="W29" s="7"/>
      <c r="X29" s="7"/>
      <c r="Y29" s="7"/>
      <c r="Z29" s="7"/>
    </row>
    <row r="30" spans="1:26" x14ac:dyDescent="0.2">
      <c r="A30" s="63"/>
      <c r="B30" s="63"/>
      <c r="C30" s="26"/>
      <c r="D30" s="26"/>
      <c r="E30" s="26"/>
      <c r="F30" s="26"/>
      <c r="G30" s="26"/>
      <c r="H30" s="26"/>
      <c r="I30" s="26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7"/>
      <c r="V30" s="7"/>
      <c r="W30" s="7"/>
      <c r="X30" s="7"/>
      <c r="Y30" s="7"/>
      <c r="Z30" s="7"/>
    </row>
    <row r="31" spans="1:26" x14ac:dyDescent="0.2">
      <c r="A31" s="63"/>
      <c r="B31" s="63"/>
      <c r="C31" s="26"/>
      <c r="D31" s="26"/>
      <c r="E31" s="26"/>
      <c r="F31" s="26"/>
      <c r="G31" s="26"/>
      <c r="H31" s="26"/>
      <c r="I31" s="26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7"/>
      <c r="V31" s="7"/>
      <c r="W31" s="7"/>
      <c r="X31" s="7"/>
      <c r="Y31" s="7"/>
      <c r="Z31" s="7"/>
    </row>
    <row r="32" spans="1:26" x14ac:dyDescent="0.2">
      <c r="A32" s="63"/>
      <c r="B32" s="63"/>
      <c r="C32" s="26"/>
      <c r="D32" s="26"/>
      <c r="E32" s="26"/>
      <c r="F32" s="26"/>
      <c r="G32" s="26"/>
      <c r="H32" s="26"/>
      <c r="I32" s="26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7"/>
      <c r="V32" s="7"/>
      <c r="W32" s="7"/>
      <c r="X32" s="7"/>
      <c r="Y32" s="7"/>
      <c r="Z32" s="7"/>
    </row>
    <row r="33" spans="1:26" x14ac:dyDescent="0.2"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65" t="s">
        <v>46</v>
      </c>
      <c r="D36" s="60">
        <f>SUM((D3-D2))*((I2+I3)/2)</f>
        <v>1.0943997281249998E-2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66" t="s">
        <v>30</v>
      </c>
      <c r="D37" s="60">
        <f>SUM((D4-D3))*((I3+I4)/2)</f>
        <v>-2.8184861549999999E-2</v>
      </c>
      <c r="F37" s="4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66" t="s">
        <v>31</v>
      </c>
      <c r="D38" s="60">
        <f>SUM((D5-D4))*((I4+I5)/2)</f>
        <v>-4.8319299240000009E-2</v>
      </c>
      <c r="F38" s="4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66" t="s">
        <v>32</v>
      </c>
      <c r="D39" s="60">
        <f>SUM((D6-D5))*((I5+I6)/2)</f>
        <v>-6.7092877649999993E-2</v>
      </c>
      <c r="F39" s="4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66" t="s">
        <v>33</v>
      </c>
      <c r="D40" s="60">
        <f>SUM((D7-D6))*((I6+I7)/2)</f>
        <v>-0.1191005826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66" t="s">
        <v>34</v>
      </c>
      <c r="D41" s="60">
        <f>SUM((D8-D7))*((I7+I8)/2)</f>
        <v>-8.9809785119999999E-2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66" t="s">
        <v>35</v>
      </c>
      <c r="D42" s="60">
        <f>SUM((D9-D8))*((I8+I9)/2)</f>
        <v>-3.3227131456500004E-2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66" t="s">
        <v>36</v>
      </c>
      <c r="D43" s="60">
        <f>SUM((D10-D9))*((I9+I10)/2)</f>
        <v>-1.7442638789999982E-3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66" t="s">
        <v>37</v>
      </c>
      <c r="D44" s="60">
        <f>SUM((D4-D3))*((I11+I12)/2)</f>
        <v>-1.2774128609999999E-2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66" t="s">
        <v>38</v>
      </c>
      <c r="D45" s="60">
        <f>SUM((D5-D4))*((I12+I13)/2)</f>
        <v>-9.8098236320000014E-3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66" t="s">
        <v>39</v>
      </c>
      <c r="D46" s="60">
        <f>SUM((D6-D5))*((I13+I14)/2)</f>
        <v>-3.5777195814999988E-3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66" t="s">
        <v>40</v>
      </c>
      <c r="D47" s="60">
        <f>SUM((D7-D6))*((I14+I15)/2)</f>
        <v>8.0271170469999997E-3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66" t="s">
        <v>41</v>
      </c>
      <c r="D48" s="60">
        <f>SUM((D8-D7))*((I15+I16)/2)</f>
        <v>2.1748389332999996E-2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66" t="s">
        <v>42</v>
      </c>
      <c r="D49" s="60">
        <f>SUM((D9-D8))*((I16+I17)/2)</f>
        <v>2.3804746060000007E-2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66" t="s">
        <v>43</v>
      </c>
      <c r="D50" s="60">
        <f>SUM((D10-D9))*((I17+I18)/2)</f>
        <v>9.9554486499999918E-3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D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D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D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D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D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8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8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8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8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8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8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8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8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8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8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mergeCells count="10">
    <mergeCell ref="C24:D32"/>
    <mergeCell ref="E21:E32"/>
    <mergeCell ref="F2:H18"/>
    <mergeCell ref="C19:E20"/>
    <mergeCell ref="A19:B32"/>
    <mergeCell ref="F20:H20"/>
    <mergeCell ref="F24:H32"/>
    <mergeCell ref="F21:F23"/>
    <mergeCell ref="G21:H23"/>
    <mergeCell ref="I19:I32"/>
  </mergeCells>
  <phoneticPr fontId="0" type="noConversion"/>
  <pageMargins left="0.78740157499999996" right="0.78740157499999996" top="0.984251969" bottom="0.984251969" header="0.5" footer="0.5"/>
  <pageSetup paperSize="9" scale="3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514350</xdr:colOff>
                    <xdr:row>11</xdr:row>
                    <xdr:rowOff>19050</xdr:rowOff>
                  </from>
                  <to>
                    <xdr:col>7</xdr:col>
                    <xdr:colOff>276225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7</v>
      </c>
      <c r="E3" s="27" t="s">
        <v>3</v>
      </c>
      <c r="F3" s="28"/>
    </row>
    <row r="4" spans="2:13" ht="12.75" customHeight="1" x14ac:dyDescent="0.2">
      <c r="B4" s="1" t="s">
        <v>1</v>
      </c>
      <c r="C4" s="3">
        <v>9600</v>
      </c>
      <c r="E4" s="29"/>
      <c r="F4" s="30"/>
    </row>
    <row r="5" spans="2:13" ht="12.75" customHeight="1" x14ac:dyDescent="0.2">
      <c r="B5" s="1" t="s">
        <v>2</v>
      </c>
      <c r="C5" s="2" t="b">
        <v>1</v>
      </c>
      <c r="E5" s="29"/>
      <c r="F5" s="30"/>
    </row>
    <row r="6" spans="2:13" ht="12.75" customHeight="1" x14ac:dyDescent="0.2">
      <c r="B6" s="1" t="s">
        <v>6</v>
      </c>
      <c r="C6" s="2" t="b">
        <v>0</v>
      </c>
      <c r="E6" s="29"/>
      <c r="F6" s="30"/>
    </row>
    <row r="7" spans="2:13" ht="12.75" customHeight="1" x14ac:dyDescent="0.2">
      <c r="B7" s="1" t="s">
        <v>7</v>
      </c>
      <c r="C7" s="2" t="b">
        <v>0</v>
      </c>
      <c r="E7" s="29"/>
      <c r="F7" s="30"/>
      <c r="M7" s="1"/>
    </row>
    <row r="8" spans="2:13" ht="12.75" customHeight="1" x14ac:dyDescent="0.2">
      <c r="B8" s="1" t="s">
        <v>8</v>
      </c>
      <c r="C8" s="2" t="b">
        <v>0</v>
      </c>
      <c r="E8" s="29"/>
      <c r="F8" s="30"/>
      <c r="L8" s="1"/>
      <c r="M8" s="1"/>
    </row>
    <row r="9" spans="2:13" ht="12.75" customHeight="1" x14ac:dyDescent="0.2">
      <c r="B9" s="1" t="s">
        <v>4</v>
      </c>
      <c r="C9" s="3" t="s">
        <v>5</v>
      </c>
      <c r="E9" s="29"/>
      <c r="F9" s="30"/>
      <c r="M9" s="1"/>
    </row>
    <row r="10" spans="2:13" ht="13.5" customHeight="1" x14ac:dyDescent="0.2">
      <c r="B10" s="1" t="s">
        <v>10</v>
      </c>
      <c r="C10" s="2" t="b">
        <v>1</v>
      </c>
      <c r="E10" s="29"/>
      <c r="F10" s="30"/>
    </row>
    <row r="11" spans="2:13" ht="13.5" customHeight="1" x14ac:dyDescent="0.2">
      <c r="B11" s="1" t="s">
        <v>9</v>
      </c>
      <c r="C11" s="2" t="b">
        <v>1</v>
      </c>
      <c r="E11" s="29"/>
      <c r="F11" s="30"/>
    </row>
    <row r="12" spans="2:13" ht="12.75" customHeight="1" x14ac:dyDescent="0.2">
      <c r="B12" s="1" t="s">
        <v>11</v>
      </c>
      <c r="C12" s="2" t="b">
        <v>1</v>
      </c>
      <c r="E12" s="29"/>
      <c r="F12" s="30"/>
    </row>
    <row r="13" spans="2:13" ht="12.75" customHeight="1" x14ac:dyDescent="0.2">
      <c r="B13" s="1" t="s">
        <v>12</v>
      </c>
      <c r="C13" s="2" t="b">
        <v>1</v>
      </c>
      <c r="E13" s="29"/>
      <c r="F13" s="30"/>
    </row>
    <row r="14" spans="2:13" ht="13.5" customHeight="1" x14ac:dyDescent="0.2">
      <c r="B14" s="1" t="s">
        <v>13</v>
      </c>
      <c r="C14" s="2">
        <v>536.25</v>
      </c>
      <c r="E14" s="29"/>
      <c r="F14" s="30"/>
    </row>
    <row r="15" spans="2:13" x14ac:dyDescent="0.2">
      <c r="B15" s="1" t="s">
        <v>14</v>
      </c>
      <c r="C15" s="3">
        <v>1024</v>
      </c>
      <c r="E15" s="29"/>
      <c r="F15" s="30"/>
    </row>
    <row r="16" spans="2:13" x14ac:dyDescent="0.2">
      <c r="B16" s="1" t="s">
        <v>15</v>
      </c>
      <c r="C16" s="3">
        <v>1024</v>
      </c>
      <c r="E16" s="29"/>
      <c r="F16" s="30"/>
    </row>
    <row r="17" spans="2:6" x14ac:dyDescent="0.2">
      <c r="B17" s="1" t="s">
        <v>16</v>
      </c>
      <c r="C17" s="3">
        <v>1024</v>
      </c>
      <c r="E17" s="29"/>
      <c r="F17" s="30"/>
    </row>
    <row r="18" spans="2:6" ht="13.5" thickBot="1" x14ac:dyDescent="0.25">
      <c r="B18" s="1" t="s">
        <v>17</v>
      </c>
      <c r="C18" s="3">
        <v>64</v>
      </c>
      <c r="E18" s="31"/>
      <c r="F18" s="3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Surakiet Piyasakulkiet</cp:lastModifiedBy>
  <dcterms:created xsi:type="dcterms:W3CDTF">2002-07-12T16:49:39Z</dcterms:created>
  <dcterms:modified xsi:type="dcterms:W3CDTF">2019-04-06T13:39:08Z</dcterms:modified>
</cp:coreProperties>
</file>